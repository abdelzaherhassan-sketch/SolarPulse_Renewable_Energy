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ata\final-Edited\"/>
    </mc:Choice>
  </mc:AlternateContent>
  <xr:revisionPtr revIDLastSave="0" documentId="13_ncr:1_{64A95FD7-09B7-457D-937E-A54180BCA8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F22" i="1"/>
  <c r="F9" i="1"/>
  <c r="G7" i="1"/>
  <c r="H7" i="1" s="1"/>
  <c r="I7" i="1" s="1"/>
  <c r="J7" i="1" s="1"/>
  <c r="H8" i="1"/>
  <c r="I8" i="1" s="1"/>
  <c r="J8" i="1" s="1"/>
  <c r="C4" i="1"/>
  <c r="C5" i="1" s="1"/>
  <c r="B22" i="1"/>
  <c r="E23" i="1"/>
  <c r="E24" i="1"/>
  <c r="E25" i="1"/>
  <c r="E26" i="1"/>
  <c r="E27" i="1"/>
  <c r="B28" i="1"/>
  <c r="E29" i="1"/>
  <c r="E30" i="1"/>
  <c r="E31" i="1"/>
  <c r="E32" i="1"/>
  <c r="E33" i="1"/>
  <c r="E11" i="1"/>
  <c r="E12" i="1"/>
  <c r="E13" i="1"/>
  <c r="E14" i="1"/>
  <c r="E15" i="1"/>
  <c r="E16" i="1"/>
  <c r="E17" i="1"/>
  <c r="E18" i="1"/>
  <c r="E19" i="1"/>
  <c r="E20" i="1"/>
  <c r="E21" i="1"/>
  <c r="E10" i="1"/>
</calcChain>
</file>

<file path=xl/sharedStrings.xml><?xml version="1.0" encoding="utf-8"?>
<sst xmlns="http://schemas.openxmlformats.org/spreadsheetml/2006/main" count="58" uniqueCount="42">
  <si>
    <t>Task</t>
  </si>
  <si>
    <t>Project Lead</t>
  </si>
  <si>
    <t>Start Date</t>
  </si>
  <si>
    <t>End Date</t>
  </si>
  <si>
    <t>Days</t>
  </si>
  <si>
    <t>Progress</t>
  </si>
  <si>
    <t>Planning Stage</t>
  </si>
  <si>
    <t>Review Stage</t>
  </si>
  <si>
    <t>Team</t>
  </si>
  <si>
    <t>1.1 Global Solar Market Overview</t>
  </si>
  <si>
    <t>1.2 Egyptian Solar Energy Landscape</t>
  </si>
  <si>
    <t>1.3 Competitive &amp; Technical Landscape</t>
  </si>
  <si>
    <t>1.4 Industry Dynamics</t>
  </si>
  <si>
    <t>1.5 Risks, Challenges &amp; Mitigation</t>
  </si>
  <si>
    <t>1.6 Key Performance Indicators (KPIs)</t>
  </si>
  <si>
    <t>Kirolos</t>
  </si>
  <si>
    <t>Mohamed</t>
  </si>
  <si>
    <t>Hassan</t>
  </si>
  <si>
    <t>Aml</t>
  </si>
  <si>
    <t>Reviewing and final file</t>
  </si>
  <si>
    <t>SQL Data Join (Weather + Production</t>
  </si>
  <si>
    <t>Exploratory Data Analysis &amp; Heatmaps</t>
  </si>
  <si>
    <t>Training AI Engine</t>
  </si>
  <si>
    <t>Power BI Dashboard Development</t>
  </si>
  <si>
    <t>Report Writing &amp; Storytelling Compilation</t>
  </si>
  <si>
    <t>Data Integrity Audit</t>
  </si>
  <si>
    <t>Outlier Cleaning &amp; Correlation Validation</t>
  </si>
  <si>
    <t>kirolos &amp; Mohamed</t>
  </si>
  <si>
    <t>AI Performance Audit</t>
  </si>
  <si>
    <t>Dashboard Integration &amp; Value Testing</t>
  </si>
  <si>
    <t>Final Presentation &amp; Delivery</t>
  </si>
  <si>
    <t>Execution Stage</t>
  </si>
  <si>
    <t>Solar Energy Analytics</t>
  </si>
  <si>
    <t>Start Date:</t>
  </si>
  <si>
    <t>Project Name:</t>
  </si>
  <si>
    <t>Current Date:</t>
  </si>
  <si>
    <t>Weeks In-Progress:</t>
  </si>
  <si>
    <t>1.Business Context Research &amp; KPI Definition</t>
  </si>
  <si>
    <t>2.Data Integration and preparation of "Single Source Of Truth"</t>
  </si>
  <si>
    <t>3.Feature Selection &amp; Analysis Strategy</t>
  </si>
  <si>
    <t>4.Model Architecture &amp; Train/Test Split</t>
  </si>
  <si>
    <t>5.Dashboard UI/UX Design &amp;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</si>
</sst>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/mmm/yyyy;@"/>
    <numFmt numFmtId="165" formatCode="[$-409]d/mmm/yy;@"/>
    <numFmt numFmtId="166" formatCode="\W\K\ #"/>
    <numFmt numFmtId="167" formatCode="\ \W\K\ #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B263B"/>
        <bgColor indexed="64"/>
      </patternFill>
    </fill>
    <fill>
      <patternFill patternType="solid">
        <fgColor rgb="FF8ECAE6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 style="thin">
        <color theme="6" tint="0.59996337778862885"/>
      </left>
      <right/>
      <top style="thin">
        <color theme="6" tint="0.59996337778862885"/>
      </top>
      <bottom style="thin">
        <color theme="6" tint="0.59996337778862885"/>
      </bottom>
      <diagonal/>
    </border>
    <border>
      <left/>
      <right style="thin">
        <color theme="6" tint="0.59996337778862885"/>
      </right>
      <top style="thin">
        <color theme="6" tint="0.59996337778862885"/>
      </top>
      <bottom style="thin">
        <color theme="6" tint="0.59996337778862885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2" borderId="0" xfId="0" applyFont="1" applyFill="1"/>
    <xf numFmtId="0" fontId="0" fillId="3" borderId="0" xfId="0" applyFill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/>
    <xf numFmtId="165" fontId="0" fillId="0" borderId="1" xfId="0" applyNumberFormat="1" applyBorder="1" applyAlignment="1">
      <alignment horizontal="left" vertical="center"/>
    </xf>
    <xf numFmtId="165" fontId="0" fillId="0" borderId="1" xfId="0" applyNumberFormat="1" applyBorder="1" applyAlignment="1">
      <alignment horizontal="left"/>
    </xf>
    <xf numFmtId="164" fontId="4" fillId="4" borderId="0" xfId="0" applyNumberFormat="1" applyFont="1" applyFill="1"/>
    <xf numFmtId="0" fontId="4" fillId="4" borderId="0" xfId="0" applyFont="1" applyFill="1"/>
    <xf numFmtId="166" fontId="4" fillId="4" borderId="0" xfId="0" applyNumberFormat="1" applyFont="1" applyFill="1" applyAlignment="1">
      <alignment horizontal="center" vertical="center"/>
    </xf>
    <xf numFmtId="0" fontId="0" fillId="4" borderId="0" xfId="0" applyFill="1"/>
    <xf numFmtId="165" fontId="0" fillId="4" borderId="0" xfId="0" applyNumberFormat="1" applyFill="1"/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/>
    </xf>
    <xf numFmtId="0" fontId="0" fillId="0" borderId="7" xfId="0" applyBorder="1" applyAlignment="1">
      <alignment horizontal="left" vertical="center" wrapText="1" indent="2"/>
    </xf>
    <xf numFmtId="9" fontId="0" fillId="0" borderId="8" xfId="1" applyFont="1" applyBorder="1"/>
    <xf numFmtId="0" fontId="0" fillId="0" borderId="7" xfId="0" applyBorder="1" applyAlignment="1">
      <alignment horizontal="left" vertical="center" indent="4"/>
    </xf>
    <xf numFmtId="9" fontId="0" fillId="0" borderId="8" xfId="0" applyNumberFormat="1" applyBorder="1"/>
    <xf numFmtId="0" fontId="0" fillId="0" borderId="7" xfId="0" applyBorder="1" applyAlignment="1">
      <alignment horizontal="left" vertical="center" indent="2"/>
    </xf>
    <xf numFmtId="0" fontId="5" fillId="3" borderId="7" xfId="0" applyFont="1" applyFill="1" applyBorder="1" applyAlignment="1">
      <alignment horizontal="left" vertical="center"/>
    </xf>
    <xf numFmtId="0" fontId="0" fillId="0" borderId="9" xfId="0" applyBorder="1" applyAlignment="1">
      <alignment horizontal="left" vertical="center" indent="2"/>
    </xf>
    <xf numFmtId="0" fontId="0" fillId="0" borderId="10" xfId="0" applyBorder="1" applyAlignment="1">
      <alignment horizontal="center" vertical="center"/>
    </xf>
    <xf numFmtId="165" fontId="0" fillId="0" borderId="10" xfId="0" applyNumberFormat="1" applyBorder="1" applyAlignment="1">
      <alignment horizontal="left"/>
    </xf>
    <xf numFmtId="0" fontId="0" fillId="0" borderId="10" xfId="0" applyBorder="1"/>
    <xf numFmtId="0" fontId="0" fillId="0" borderId="12" xfId="0" applyBorder="1" applyAlignment="1">
      <alignment horizontal="center"/>
    </xf>
    <xf numFmtId="0" fontId="3" fillId="0" borderId="11" xfId="0" applyFont="1" applyBorder="1" applyAlignment="1">
      <alignment vertical="center"/>
    </xf>
    <xf numFmtId="165" fontId="0" fillId="0" borderId="12" xfId="0" applyNumberFormat="1" applyBorder="1" applyAlignment="1">
      <alignment horizontal="center"/>
    </xf>
    <xf numFmtId="0" fontId="0" fillId="3" borderId="1" xfId="0" applyFill="1" applyBorder="1"/>
    <xf numFmtId="167" fontId="0" fillId="0" borderId="1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9" fontId="0" fillId="3" borderId="0" xfId="1" applyFont="1" applyFill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B703"/>
      <color rgb="FF8ECAE6"/>
      <color rgb="FF1B26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H59"/>
  <sheetViews>
    <sheetView showGridLines="0" tabSelected="1" topLeftCell="A7" zoomScaleNormal="100" workbookViewId="0">
      <selection activeCell="F34" sqref="F34"/>
    </sheetView>
  </sheetViews>
  <sheetFormatPr defaultRowHeight="14.4" x14ac:dyDescent="0.3"/>
  <cols>
    <col min="1" max="1" width="56.21875" style="2" customWidth="1"/>
    <col min="2" max="2" width="17.21875" style="1" bestFit="1" customWidth="1"/>
    <col min="3" max="3" width="18.88671875" bestFit="1" customWidth="1"/>
    <col min="4" max="4" width="15.5546875" bestFit="1" customWidth="1"/>
    <col min="5" max="5" width="7.5546875" customWidth="1"/>
    <col min="6" max="6" width="10" bestFit="1" customWidth="1"/>
    <col min="7" max="7" width="13.109375" customWidth="1"/>
    <col min="8" max="8" width="13.109375" bestFit="1" customWidth="1"/>
    <col min="9" max="10" width="14.44140625" bestFit="1" customWidth="1"/>
  </cols>
  <sheetData>
    <row r="2" spans="1:86" x14ac:dyDescent="0.3">
      <c r="B2" s="34" t="s">
        <v>34</v>
      </c>
      <c r="C2" s="33" t="s">
        <v>32</v>
      </c>
    </row>
    <row r="3" spans="1:86" x14ac:dyDescent="0.3">
      <c r="B3" s="34" t="s">
        <v>33</v>
      </c>
      <c r="C3" s="35">
        <v>46114</v>
      </c>
    </row>
    <row r="4" spans="1:86" x14ac:dyDescent="0.3">
      <c r="B4" s="34" t="s">
        <v>35</v>
      </c>
      <c r="C4" s="35">
        <f ca="1">TODAY()</f>
        <v>46159</v>
      </c>
    </row>
    <row r="5" spans="1:86" x14ac:dyDescent="0.3">
      <c r="B5" s="34" t="s">
        <v>36</v>
      </c>
      <c r="C5" s="37">
        <f ca="1">ROUNDUP((C4-C3)/7,0)</f>
        <v>7</v>
      </c>
    </row>
    <row r="7" spans="1:86" s="3" customFormat="1" ht="18" x14ac:dyDescent="0.35">
      <c r="A7" s="15"/>
      <c r="B7" s="16"/>
      <c r="C7" s="17"/>
      <c r="D7" s="17"/>
      <c r="E7" s="17"/>
      <c r="F7" s="18"/>
      <c r="G7" s="10">
        <f>C3</f>
        <v>46114</v>
      </c>
      <c r="H7" s="10">
        <f>G7+7</f>
        <v>46121</v>
      </c>
      <c r="I7" s="10">
        <f>H7+7</f>
        <v>46128</v>
      </c>
      <c r="J7" s="10">
        <f>I7+7</f>
        <v>46135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</row>
    <row r="8" spans="1:86" s="3" customFormat="1" ht="18" x14ac:dyDescent="0.35">
      <c r="A8" s="19" t="s">
        <v>0</v>
      </c>
      <c r="B8" s="20" t="s">
        <v>1</v>
      </c>
      <c r="C8" s="20" t="s">
        <v>2</v>
      </c>
      <c r="D8" s="20" t="s">
        <v>3</v>
      </c>
      <c r="E8" s="20" t="s">
        <v>4</v>
      </c>
      <c r="F8" s="21" t="s">
        <v>5</v>
      </c>
      <c r="G8" s="12">
        <v>1</v>
      </c>
      <c r="H8" s="12">
        <f>G8+1</f>
        <v>2</v>
      </c>
      <c r="I8" s="12">
        <f>H8+1</f>
        <v>3</v>
      </c>
      <c r="J8" s="12">
        <f>I8+1</f>
        <v>4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</row>
    <row r="9" spans="1:86" s="4" customFormat="1" ht="15.6" x14ac:dyDescent="0.3">
      <c r="A9" s="22" t="s">
        <v>6</v>
      </c>
      <c r="F9" s="40">
        <f>AVERAGE(F10:F21)</f>
        <v>0.91666666666666663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</row>
    <row r="10" spans="1:86" x14ac:dyDescent="0.3">
      <c r="A10" s="23" t="s">
        <v>37</v>
      </c>
      <c r="B10" s="5" t="s">
        <v>8</v>
      </c>
      <c r="C10" s="6">
        <v>46114</v>
      </c>
      <c r="D10" s="6">
        <v>46121</v>
      </c>
      <c r="E10" s="7">
        <f>IF(C10="","",D10-C10)</f>
        <v>7</v>
      </c>
      <c r="F10" s="24">
        <v>0</v>
      </c>
      <c r="G10" s="14"/>
      <c r="H10" s="14"/>
      <c r="I10" s="14"/>
      <c r="J10" s="14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</row>
    <row r="11" spans="1:86" x14ac:dyDescent="0.3">
      <c r="A11" s="25" t="s">
        <v>9</v>
      </c>
      <c r="B11" s="5" t="s">
        <v>15</v>
      </c>
      <c r="C11" s="38">
        <v>46114</v>
      </c>
      <c r="D11" s="39">
        <v>46115</v>
      </c>
      <c r="E11" s="7">
        <f t="shared" ref="E11:E33" si="0">IF(C11="","",D11-C11)</f>
        <v>1</v>
      </c>
      <c r="F11" s="24">
        <v>1</v>
      </c>
      <c r="G11" s="14"/>
      <c r="H11" s="14"/>
      <c r="I11" s="14"/>
      <c r="J11" s="14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</row>
    <row r="12" spans="1:86" x14ac:dyDescent="0.3">
      <c r="A12" s="25" t="s">
        <v>10</v>
      </c>
      <c r="B12" s="5" t="s">
        <v>15</v>
      </c>
      <c r="C12" s="39">
        <v>46115</v>
      </c>
      <c r="D12" s="39">
        <v>46116</v>
      </c>
      <c r="E12" s="7">
        <f t="shared" si="0"/>
        <v>1</v>
      </c>
      <c r="F12" s="24">
        <v>1</v>
      </c>
      <c r="G12" s="14"/>
      <c r="H12" s="14"/>
      <c r="I12" s="14"/>
      <c r="J12" s="14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</row>
    <row r="13" spans="1:86" x14ac:dyDescent="0.3">
      <c r="A13" s="25" t="s">
        <v>11</v>
      </c>
      <c r="B13" s="5" t="s">
        <v>16</v>
      </c>
      <c r="C13" s="39">
        <v>46116</v>
      </c>
      <c r="D13" s="39">
        <v>46117</v>
      </c>
      <c r="E13" s="7">
        <f t="shared" si="0"/>
        <v>1</v>
      </c>
      <c r="F13" s="24">
        <v>1</v>
      </c>
      <c r="G13" s="14"/>
      <c r="H13" s="14"/>
      <c r="I13" s="14"/>
      <c r="J13" s="14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</row>
    <row r="14" spans="1:86" x14ac:dyDescent="0.3">
      <c r="A14" s="25" t="s">
        <v>12</v>
      </c>
      <c r="B14" s="5" t="s">
        <v>16</v>
      </c>
      <c r="C14" s="39">
        <v>46117</v>
      </c>
      <c r="D14" s="39">
        <v>46118</v>
      </c>
      <c r="E14" s="7">
        <f t="shared" si="0"/>
        <v>1</v>
      </c>
      <c r="F14" s="26">
        <v>1</v>
      </c>
      <c r="G14" s="14"/>
      <c r="H14" s="14"/>
      <c r="I14" s="14"/>
      <c r="J14" s="14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</row>
    <row r="15" spans="1:86" x14ac:dyDescent="0.3">
      <c r="A15" s="25" t="s">
        <v>13</v>
      </c>
      <c r="B15" s="5" t="s">
        <v>17</v>
      </c>
      <c r="C15" s="39">
        <v>46118</v>
      </c>
      <c r="D15" s="39">
        <v>46119</v>
      </c>
      <c r="E15" s="7">
        <f t="shared" si="0"/>
        <v>1</v>
      </c>
      <c r="F15" s="26">
        <v>1</v>
      </c>
      <c r="G15" s="14"/>
      <c r="H15" s="14"/>
      <c r="I15" s="14"/>
      <c r="J15" s="14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</row>
    <row r="16" spans="1:86" x14ac:dyDescent="0.3">
      <c r="A16" s="25" t="s">
        <v>14</v>
      </c>
      <c r="B16" s="5" t="s">
        <v>18</v>
      </c>
      <c r="C16" s="39">
        <v>46119</v>
      </c>
      <c r="D16" s="39">
        <v>46120</v>
      </c>
      <c r="E16" s="7">
        <f t="shared" si="0"/>
        <v>1</v>
      </c>
      <c r="F16" s="26">
        <v>1</v>
      </c>
      <c r="G16" s="14"/>
      <c r="H16" s="14"/>
      <c r="I16" s="14"/>
      <c r="J16" s="14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</row>
    <row r="17" spans="1:86" x14ac:dyDescent="0.3">
      <c r="A17" s="27" t="s">
        <v>19</v>
      </c>
      <c r="B17" s="5" t="s">
        <v>17</v>
      </c>
      <c r="C17" s="39">
        <v>46120</v>
      </c>
      <c r="D17" s="38">
        <v>46121</v>
      </c>
      <c r="E17" s="7">
        <f t="shared" si="0"/>
        <v>1</v>
      </c>
      <c r="F17" s="26">
        <v>1</v>
      </c>
      <c r="G17" s="14"/>
      <c r="H17" s="14"/>
      <c r="I17" s="14"/>
      <c r="J17" s="14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</row>
    <row r="18" spans="1:86" x14ac:dyDescent="0.3">
      <c r="A18" s="23" t="s">
        <v>38</v>
      </c>
      <c r="B18" s="5" t="s">
        <v>15</v>
      </c>
      <c r="C18" s="38">
        <v>46114</v>
      </c>
      <c r="D18" s="39">
        <v>46116</v>
      </c>
      <c r="E18" s="7">
        <f t="shared" si="0"/>
        <v>2</v>
      </c>
      <c r="F18" s="26">
        <v>1</v>
      </c>
      <c r="G18" s="14"/>
      <c r="H18" s="14"/>
      <c r="I18" s="14"/>
      <c r="J18" s="14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</row>
    <row r="19" spans="1:86" x14ac:dyDescent="0.3">
      <c r="A19" s="23" t="s">
        <v>39</v>
      </c>
      <c r="B19" s="5" t="s">
        <v>16</v>
      </c>
      <c r="C19" s="39">
        <v>46116</v>
      </c>
      <c r="D19" s="39">
        <v>46121</v>
      </c>
      <c r="E19" s="7">
        <f t="shared" si="0"/>
        <v>5</v>
      </c>
      <c r="F19" s="26">
        <v>1</v>
      </c>
      <c r="G19" s="14"/>
      <c r="H19" s="14"/>
      <c r="I19" s="14"/>
      <c r="J19" s="14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</row>
    <row r="20" spans="1:86" x14ac:dyDescent="0.3">
      <c r="A20" s="23" t="s">
        <v>40</v>
      </c>
      <c r="B20" s="5" t="s">
        <v>17</v>
      </c>
      <c r="C20" s="39">
        <v>46121</v>
      </c>
      <c r="D20" s="39">
        <v>46128</v>
      </c>
      <c r="E20" s="7">
        <f t="shared" si="0"/>
        <v>7</v>
      </c>
      <c r="F20" s="26">
        <v>1</v>
      </c>
      <c r="G20" s="14"/>
      <c r="H20" s="14"/>
      <c r="I20" s="14"/>
      <c r="J20" s="14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</row>
    <row r="21" spans="1:86" x14ac:dyDescent="0.3">
      <c r="A21" s="23" t="s">
        <v>41</v>
      </c>
      <c r="B21" s="5" t="s">
        <v>18</v>
      </c>
      <c r="C21" s="39">
        <v>46121</v>
      </c>
      <c r="D21" s="38">
        <v>46128</v>
      </c>
      <c r="E21" s="7">
        <f t="shared" si="0"/>
        <v>7</v>
      </c>
      <c r="F21" s="26">
        <v>1</v>
      </c>
      <c r="G21" s="14"/>
      <c r="H21" s="14"/>
      <c r="I21" s="14"/>
      <c r="J21" s="14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</row>
    <row r="22" spans="1:86" s="4" customFormat="1" ht="15.6" x14ac:dyDescent="0.3">
      <c r="A22" s="28" t="s">
        <v>31</v>
      </c>
      <c r="B22" s="36" t="str">
        <f>IF(C22="","",D22-C22)</f>
        <v/>
      </c>
      <c r="C22" s="36"/>
      <c r="D22" s="36"/>
      <c r="E22" s="36"/>
      <c r="F22" s="40">
        <f>AVERAGE(F23:F27)</f>
        <v>1</v>
      </c>
      <c r="G22" s="14"/>
      <c r="H22" s="14"/>
      <c r="I22" s="14"/>
      <c r="J22" s="14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</row>
    <row r="23" spans="1:86" x14ac:dyDescent="0.3">
      <c r="A23" s="27" t="s">
        <v>20</v>
      </c>
      <c r="B23" s="5" t="s">
        <v>15</v>
      </c>
      <c r="C23" s="8">
        <v>46121</v>
      </c>
      <c r="D23" s="8">
        <v>46123</v>
      </c>
      <c r="E23" s="7">
        <f t="shared" si="0"/>
        <v>2</v>
      </c>
      <c r="F23" s="24">
        <v>1</v>
      </c>
      <c r="G23" s="14"/>
      <c r="H23" s="14"/>
      <c r="I23" s="14"/>
      <c r="J23" s="14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</row>
    <row r="24" spans="1:86" x14ac:dyDescent="0.3">
      <c r="A24" s="27" t="s">
        <v>21</v>
      </c>
      <c r="B24" s="5" t="s">
        <v>16</v>
      </c>
      <c r="C24" s="8">
        <v>46124</v>
      </c>
      <c r="D24" s="8">
        <v>46127</v>
      </c>
      <c r="E24" s="7">
        <f t="shared" si="0"/>
        <v>3</v>
      </c>
      <c r="F24" s="24">
        <v>1</v>
      </c>
      <c r="G24" s="14"/>
      <c r="H24" s="14"/>
      <c r="I24" s="14"/>
      <c r="J24" s="14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</row>
    <row r="25" spans="1:86" x14ac:dyDescent="0.3">
      <c r="A25" s="27" t="s">
        <v>22</v>
      </c>
      <c r="B25" s="5" t="s">
        <v>17</v>
      </c>
      <c r="C25" s="8">
        <v>46128</v>
      </c>
      <c r="D25" s="8">
        <v>46132</v>
      </c>
      <c r="E25" s="7">
        <f t="shared" si="0"/>
        <v>4</v>
      </c>
      <c r="F25" s="24">
        <v>1</v>
      </c>
      <c r="G25" s="14"/>
      <c r="H25" s="14"/>
      <c r="I25" s="14"/>
      <c r="J25" s="14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</row>
    <row r="26" spans="1:86" x14ac:dyDescent="0.3">
      <c r="A26" s="27" t="s">
        <v>23</v>
      </c>
      <c r="B26" s="5" t="s">
        <v>18</v>
      </c>
      <c r="C26" s="8">
        <v>46133</v>
      </c>
      <c r="D26" s="8">
        <v>46135</v>
      </c>
      <c r="E26" s="7">
        <f t="shared" si="0"/>
        <v>2</v>
      </c>
      <c r="F26" s="24">
        <v>1</v>
      </c>
      <c r="G26" s="14"/>
      <c r="H26" s="14"/>
      <c r="I26" s="14"/>
      <c r="J26" s="14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</row>
    <row r="27" spans="1:86" x14ac:dyDescent="0.3">
      <c r="A27" s="27" t="s">
        <v>24</v>
      </c>
      <c r="B27" s="5" t="s">
        <v>18</v>
      </c>
      <c r="C27" s="8">
        <v>46136</v>
      </c>
      <c r="D27" s="9">
        <v>46137</v>
      </c>
      <c r="E27" s="7">
        <f t="shared" si="0"/>
        <v>1</v>
      </c>
      <c r="F27" s="24">
        <v>1</v>
      </c>
      <c r="G27" s="14"/>
      <c r="H27" s="14"/>
      <c r="I27" s="14"/>
      <c r="J27" s="14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</row>
    <row r="28" spans="1:86" s="4" customFormat="1" ht="15.6" x14ac:dyDescent="0.3">
      <c r="A28" s="28" t="s">
        <v>7</v>
      </c>
      <c r="B28" s="36" t="str">
        <f>IF(C28="","",D28-C28)</f>
        <v/>
      </c>
      <c r="C28" s="36"/>
      <c r="D28" s="36"/>
      <c r="E28" s="36"/>
      <c r="F28" s="40">
        <f>AVERAGE(F29:F33)</f>
        <v>1</v>
      </c>
      <c r="G28" s="14"/>
      <c r="H28" s="14"/>
      <c r="I28" s="14"/>
      <c r="J28" s="14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</row>
    <row r="29" spans="1:86" x14ac:dyDescent="0.3">
      <c r="A29" s="27" t="s">
        <v>25</v>
      </c>
      <c r="B29" s="5" t="s">
        <v>8</v>
      </c>
      <c r="C29" s="9">
        <v>46137</v>
      </c>
      <c r="D29" s="9">
        <v>46138</v>
      </c>
      <c r="E29" s="7">
        <f t="shared" si="0"/>
        <v>1</v>
      </c>
      <c r="F29" s="24">
        <v>1</v>
      </c>
      <c r="G29" s="14"/>
      <c r="H29" s="14"/>
      <c r="I29" s="14"/>
      <c r="J29" s="14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</row>
    <row r="30" spans="1:86" x14ac:dyDescent="0.3">
      <c r="A30" s="27" t="s">
        <v>26</v>
      </c>
      <c r="B30" s="5" t="s">
        <v>27</v>
      </c>
      <c r="C30" s="9">
        <v>46138</v>
      </c>
      <c r="D30" s="9">
        <v>46139</v>
      </c>
      <c r="E30" s="7">
        <f t="shared" si="0"/>
        <v>1</v>
      </c>
      <c r="F30" s="24">
        <v>1</v>
      </c>
      <c r="G30" s="14"/>
      <c r="H30" s="14"/>
      <c r="I30" s="14"/>
      <c r="J30" s="14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</row>
    <row r="31" spans="1:86" x14ac:dyDescent="0.3">
      <c r="A31" s="27" t="s">
        <v>28</v>
      </c>
      <c r="B31" s="5" t="s">
        <v>17</v>
      </c>
      <c r="C31" s="9">
        <v>46139</v>
      </c>
      <c r="D31" s="9">
        <v>46140</v>
      </c>
      <c r="E31" s="7">
        <f t="shared" si="0"/>
        <v>1</v>
      </c>
      <c r="F31" s="24">
        <v>1</v>
      </c>
      <c r="G31" s="14"/>
      <c r="H31" s="14"/>
      <c r="I31" s="14"/>
      <c r="J31" s="14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</row>
    <row r="32" spans="1:86" x14ac:dyDescent="0.3">
      <c r="A32" s="27" t="s">
        <v>29</v>
      </c>
      <c r="B32" s="5" t="s">
        <v>18</v>
      </c>
      <c r="C32" s="9">
        <v>46140</v>
      </c>
      <c r="D32" s="9">
        <v>46141</v>
      </c>
      <c r="E32" s="7">
        <f t="shared" si="0"/>
        <v>1</v>
      </c>
      <c r="F32" s="24">
        <v>1</v>
      </c>
      <c r="G32" s="14"/>
      <c r="H32" s="14"/>
      <c r="I32" s="14"/>
      <c r="J32" s="14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</row>
    <row r="33" spans="1:86" x14ac:dyDescent="0.3">
      <c r="A33" s="29" t="s">
        <v>30</v>
      </c>
      <c r="B33" s="30" t="s">
        <v>8</v>
      </c>
      <c r="C33" s="31">
        <v>46141</v>
      </c>
      <c r="D33" s="31">
        <v>46142</v>
      </c>
      <c r="E33" s="32">
        <f t="shared" si="0"/>
        <v>1</v>
      </c>
      <c r="F33" s="24">
        <v>1</v>
      </c>
      <c r="G33" s="14"/>
      <c r="H33" s="14"/>
      <c r="I33" s="14"/>
      <c r="J33" s="14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</row>
    <row r="34" spans="1:86" x14ac:dyDescent="0.3"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</row>
    <row r="35" spans="1:86" x14ac:dyDescent="0.3"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</row>
    <row r="36" spans="1:86" x14ac:dyDescent="0.3"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</row>
    <row r="37" spans="1:86" x14ac:dyDescent="0.3"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</row>
    <row r="38" spans="1:86" x14ac:dyDescent="0.3"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</row>
    <row r="39" spans="1:86" x14ac:dyDescent="0.3"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</row>
    <row r="40" spans="1:86" x14ac:dyDescent="0.3"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</row>
    <row r="41" spans="1:86" x14ac:dyDescent="0.3"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</row>
    <row r="42" spans="1:86" x14ac:dyDescent="0.3"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</row>
    <row r="43" spans="1:86" x14ac:dyDescent="0.3"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</row>
    <row r="44" spans="1:86" x14ac:dyDescent="0.3"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</row>
    <row r="45" spans="1:86" x14ac:dyDescent="0.3"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</row>
    <row r="46" spans="1:86" x14ac:dyDescent="0.3"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</row>
    <row r="47" spans="1:86" x14ac:dyDescent="0.3"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</row>
    <row r="48" spans="1:86" x14ac:dyDescent="0.3"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</row>
    <row r="49" spans="7:86" x14ac:dyDescent="0.3"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</row>
    <row r="50" spans="7:86" x14ac:dyDescent="0.3"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</row>
    <row r="51" spans="7:86" x14ac:dyDescent="0.3"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</row>
    <row r="52" spans="7:86" x14ac:dyDescent="0.3"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</row>
    <row r="53" spans="7:86" x14ac:dyDescent="0.3"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</row>
    <row r="54" spans="7:86" x14ac:dyDescent="0.3"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</row>
    <row r="55" spans="7:86" x14ac:dyDescent="0.3"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</row>
    <row r="56" spans="7:86" x14ac:dyDescent="0.3"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</row>
    <row r="57" spans="7:86" x14ac:dyDescent="0.3"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</row>
    <row r="58" spans="7:86" x14ac:dyDescent="0.3"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</row>
    <row r="59" spans="7:86" x14ac:dyDescent="0.3"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</row>
  </sheetData>
  <phoneticPr fontId="1" type="noConversion"/>
  <conditionalFormatting sqref="F9:F33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{1CED96DE-893A-4E6F-AAA5-9E669B576C10}</x14:id>
        </ext>
      </extLst>
    </cfRule>
  </conditionalFormatting>
  <conditionalFormatting sqref="F10:F21">
    <cfRule type="dataBar" priority="16">
      <dataBar>
        <cfvo type="num" val="0"/>
        <cfvo type="num" val="1"/>
        <color rgb="FFFFB703"/>
      </dataBar>
      <extLst>
        <ext xmlns:x14="http://schemas.microsoft.com/office/spreadsheetml/2009/9/main" uri="{B025F937-C7B1-47D3-B67F-A62EFF666E3E}">
          <x14:id>{641D0DAB-3711-488A-9B47-306D9835DA21}</x14:id>
        </ext>
      </extLst>
    </cfRule>
    <cfRule type="dataBar" priority="17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{94ED2E3B-F68A-4C60-BB7E-965021AB630C}</x14:id>
        </ext>
      </extLst>
    </cfRule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{AB164878-00E5-4F5F-B58F-67F09BC7F447}</x14:id>
        </ext>
      </extLst>
    </cfRule>
  </conditionalFormatting>
  <conditionalFormatting sqref="F23:F27">
    <cfRule type="dataBar" priority="19">
      <dataBar>
        <cfvo type="num" val="0"/>
        <cfvo type="num" val="1"/>
        <color rgb="FFFFB703"/>
      </dataBar>
      <extLst>
        <ext xmlns:x14="http://schemas.microsoft.com/office/spreadsheetml/2009/9/main" uri="{B025F937-C7B1-47D3-B67F-A62EFF666E3E}">
          <x14:id>{DFB4A63A-68D5-4853-B55E-A2F260CEA711}</x14:id>
        </ext>
      </extLst>
    </cfRule>
    <cfRule type="dataBar" priority="20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{9DB91B6E-CED5-4925-8FE2-7823AAFD8ED5}</x14:id>
        </ext>
      </extLst>
    </cfRule>
    <cfRule type="dataBar" priority="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{C0913D9E-F1A7-48C6-98E1-F223E34FEB04}</x14:id>
        </ext>
      </extLst>
    </cfRule>
  </conditionalFormatting>
  <conditionalFormatting sqref="F29:F33">
    <cfRule type="dataBar" priority="22">
      <dataBar>
        <cfvo type="num" val="0"/>
        <cfvo type="num" val="1"/>
        <color rgb="FFFFB703"/>
      </dataBar>
      <extLst>
        <ext xmlns:x14="http://schemas.microsoft.com/office/spreadsheetml/2009/9/main" uri="{B025F937-C7B1-47D3-B67F-A62EFF666E3E}">
          <x14:id>{1915AF88-DA12-41BD-BE1D-B20BF8C1A0AA}</x14:id>
        </ext>
      </extLst>
    </cfRule>
    <cfRule type="dataBar" priority="23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{2BC01946-7ABB-4B06-B71D-E23190CB6A43}</x14:id>
        </ext>
      </extLst>
    </cfRule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{214B570C-DE3A-46F2-849A-EF68C656CC4A}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ED96DE-893A-4E6F-AAA5-9E669B576C1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F9:F33</xm:sqref>
        </x14:conditionalFormatting>
        <x14:conditionalFormatting xmlns:xm="http://schemas.microsoft.com/office/excel/2006/main">
          <x14:cfRule type="dataBar" id="{641D0DAB-3711-488A-9B47-306D9835DA2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4ED2E3B-F68A-4C60-BB7E-965021AB630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B164878-00E5-4F5F-B58F-67F09BC7F4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F10:F21</xm:sqref>
        </x14:conditionalFormatting>
        <x14:conditionalFormatting xmlns:xm="http://schemas.microsoft.com/office/excel/2006/main">
          <x14:cfRule type="dataBar" id="{DFB4A63A-68D5-4853-B55E-A2F260CEA71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DB91B6E-CED5-4925-8FE2-7823AAFD8ED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0913D9E-F1A7-48C6-98E1-F223E34FEB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F23:F27</xm:sqref>
        </x14:conditionalFormatting>
        <x14:conditionalFormatting xmlns:xm="http://schemas.microsoft.com/office/excel/2006/main">
          <x14:cfRule type="dataBar" id="{1915AF88-DA12-41BD-BE1D-B20BF8C1A0A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BC01946-7ABB-4B06-B71D-E23190CB6A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14B570C-DE3A-46F2-849A-EF68C656CC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F29:F33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Sajed Store</dc:creator>
  <cp:lastModifiedBy>aml abdelaziz ahmed ali</cp:lastModifiedBy>
  <dcterms:created xsi:type="dcterms:W3CDTF">2015-06-05T18:17:20Z</dcterms:created>
  <dcterms:modified xsi:type="dcterms:W3CDTF">2026-05-17T07:51:06Z</dcterms:modified>
</cp:coreProperties>
</file>